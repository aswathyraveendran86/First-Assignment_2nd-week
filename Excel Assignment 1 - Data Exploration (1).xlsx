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dde8dcf552de192/Desktop/data Analysis class _live notes/Assignments/"/>
    </mc:Choice>
  </mc:AlternateContent>
  <xr:revisionPtr revIDLastSave="145" documentId="11_AE6035745C5AC9D6C759A76D5D31450AFDAE85B8" xr6:coauthVersionLast="47" xr6:coauthVersionMax="47" xr10:uidLastSave="{48F44029-D3F1-4752-B64B-A93331A77C4B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Solution" sheetId="4" r:id="rId3"/>
  </sheets>
  <definedNames>
    <definedName name="_xlnm._FilterDatabase" localSheetId="2" hidden="1">Solution!$A$1:$J$35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C2" i="4" l="1"/>
  <c r="D2" i="4"/>
  <c r="B2" i="4"/>
  <c r="H2" i="4"/>
  <c r="O16" i="4"/>
  <c r="O15" i="4"/>
  <c r="O12" i="4"/>
  <c r="O11" i="4"/>
  <c r="O8" i="4"/>
  <c r="O7" i="4"/>
  <c r="O6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B34" i="4"/>
  <c r="B35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</calcChain>
</file>

<file path=xl/sharedStrings.xml><?xml version="1.0" encoding="utf-8"?>
<sst xmlns="http://schemas.openxmlformats.org/spreadsheetml/2006/main" count="315" uniqueCount="124">
  <si>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</si>
  <si>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</si>
  <si>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</si>
  <si>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</si>
  <si>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</si>
  <si>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</si>
  <si>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</si>
  <si>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</si>
  <si>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</si>
  <si>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</si>
  <si>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</si>
  <si>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</si>
  <si>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</si>
  <si>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</si>
  <si>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</si>
  <si>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</si>
  <si>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</si>
  <si>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</si>
  <si>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</si>
  <si>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</si>
  <si>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</si>
  <si>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</si>
  <si>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</si>
  <si>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</si>
  <si>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</si>
  <si>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</si>
  <si>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</si>
  <si>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</si>
  <si>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</si>
  <si>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</si>
  <si>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</si>
  <si>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</si>
  <si>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</si>
  <si>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</si>
  <si>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</si>
  <si>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</si>
  <si>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</si>
  <si>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</si>
  <si>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</si>
  <si>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</si>
  <si>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</si>
  <si>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</si>
  <si>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</si>
  <si>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</si>
  <si>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</si>
  <si>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</si>
  <si>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</si>
  <si>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</si>
  <si>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</si>
  <si>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</si>
  <si>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</si>
  <si>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</si>
  <si>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</si>
  <si>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</si>
  <si>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</si>
  <si>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</si>
  <si>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</si>
  <si>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</si>
  <si>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</si>
  <si>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</si>
  <si>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</si>
  <si>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</si>
  <si>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</si>
  <si>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</si>
  <si>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</si>
  <si>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</si>
  <si>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</si>
  <si>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</si>
  <si>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</si>
  <si>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</si>
  <si>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</si>
  <si>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</si>
  <si>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</si>
  <si>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</si>
  <si>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</si>
  <si>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</si>
  <si>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</si>
  <si>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</si>
  <si>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</si>
  <si>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</si>
  <si>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</si>
  <si>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</si>
  <si>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</si>
  <si>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</si>
  <si>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</si>
  <si>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</si>
  <si>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</si>
  <si>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</si>
  <si>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</si>
  <si>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</si>
  <si>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</si>
  <si>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</si>
  <si>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</si>
  <si>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</si>
  <si>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</si>
  <si>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</si>
  <si>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</si>
  <si>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</si>
  <si>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</si>
  <si>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</si>
  <si>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</si>
  <si>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</si>
  <si>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</si>
  <si>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</si>
  <si>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</si>
  <si>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</si>
  <si>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</si>
  <si>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</si>
  <si>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</si>
  <si>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</si>
  <si>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products</t>
  </si>
  <si>
    <t>Average price of the product</t>
  </si>
  <si>
    <t>Min(),Max()</t>
  </si>
  <si>
    <t>Minimum  price of all products</t>
  </si>
  <si>
    <t>Maximum price of all products</t>
  </si>
  <si>
    <t>Price Range</t>
  </si>
  <si>
    <t>Sumif(),countif()</t>
  </si>
  <si>
    <t>Total price of products in the electronics</t>
  </si>
  <si>
    <t>The count of products price less than 100</t>
  </si>
  <si>
    <t>Sum(),Count(),Average()</t>
  </si>
  <si>
    <t>Day</t>
  </si>
  <si>
    <t>Country Code</t>
  </si>
  <si>
    <t>Month</t>
  </si>
  <si>
    <t>Total products in the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</si>
</sst>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2" borderId="0" xfId="0" applyFont="1" applyFill="1" applyAlignment="1">
      <alignment horizontal="left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0140A4-78CE-4495-9BEF-4F7B5E58218B}" name="Table3" displayName="Table3" ref="A1:J35" totalsRowShown="0" headerRowDxfId="0" dataDxfId="1">
  <tableColumns count="10">
    <tableColumn id="1" xr3:uid="{06BD24B6-9425-4C60-BDA9-BFCA5FE3C7E8}" name="Product ID" dataDxfId="11"/>
    <tableColumn id="2" xr3:uid="{23375CCC-8AC8-4F6C-9CE7-A76D616616E5}" name="Day" dataDxfId="10">
      <calculatedColumnFormula>LEFT(A2,2)</calculatedColumnFormula>
    </tableColumn>
    <tableColumn id="3" xr3:uid="{0C6B3246-E83F-47C0-AD34-907E289C99E0}" name="Month" dataDxfId="9">
      <calculatedColumnFormula>MID(A2,4,3)</calculatedColumnFormula>
    </tableColumn>
    <tableColumn id="4" xr3:uid="{616A3BB6-B289-46CC-8D98-95233A124873}" name="Country Code" dataDxfId="8">
      <calculatedColumnFormula>RIGHT(A2,2)</calculatedColumnFormula>
    </tableColumn>
    <tableColumn id="5" xr3:uid="{10734D83-3900-44D6-BF64-2BB9BF5EB165}" name="Product Name" dataDxfId="7"/>
    <tableColumn id="6" xr3:uid="{AE8C45DD-33D6-4C7A-B43F-F6666D2BEC87}" name="Brand Name" dataDxfId="6"/>
    <tableColumn id="7" xr3:uid="{5087A329-0456-4758-ABFD-EAC7E3A2C131}" name="Price ($)" dataDxfId="5"/>
    <tableColumn id="8" xr3:uid="{F0278336-A4CE-4176-95F0-894BB76B48CB}" name="Price Range" dataDxfId="4">
      <calculatedColumnFormula>IF(G2&gt;=500,"High price","Standard Price")</calculatedColumnFormula>
    </tableColumn>
    <tableColumn id="9" xr3:uid="{9E4FB940-5CA9-4FE6-891E-4D5CCC62E387}" name="Quantity" dataDxfId="3"/>
    <tableColumn id="10" xr3:uid="{BFD2477F-9DD9-4078-A223-7EF19DB3231C}" name="Catego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I14" sqref="I14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activeCell="K3" sqref="K3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EB15D-6235-4016-912E-B3BA3E24481B}">
  <dimension ref="A1:O1000"/>
  <sheetViews>
    <sheetView tabSelected="1" workbookViewId="0">
      <selection activeCell="C3" sqref="C3"/>
    </sheetView>
  </sheetViews>
  <sheetFormatPr defaultColWidth="12.6640625" defaultRowHeight="13.2" x14ac:dyDescent="0.25"/>
  <cols>
    <col min="4" max="4" width="15.109375" style="12" customWidth="1"/>
    <col min="5" max="5" width="15.33203125" customWidth="1"/>
    <col min="6" max="6" width="13.6640625" customWidth="1"/>
    <col min="7" max="7" width="11.33203125" customWidth="1"/>
    <col min="8" max="8" width="15.77734375" customWidth="1"/>
    <col min="12" max="12" width="14" customWidth="1"/>
    <col min="14" max="14" width="23.33203125" customWidth="1"/>
  </cols>
  <sheetData>
    <row r="1" spans="1:15" ht="15.75" customHeight="1" x14ac:dyDescent="0.25">
      <c r="A1" s="5" t="s">
        <v>17</v>
      </c>
      <c r="B1" s="5" t="s">
        <v>120</v>
      </c>
      <c r="C1" s="5" t="s">
        <v>122</v>
      </c>
      <c r="D1" s="17" t="s">
        <v>121</v>
      </c>
      <c r="E1" s="5" t="s">
        <v>18</v>
      </c>
      <c r="F1" s="5" t="s">
        <v>19</v>
      </c>
      <c r="G1" s="5" t="s">
        <v>20</v>
      </c>
      <c r="H1" s="5" t="s">
        <v>115</v>
      </c>
      <c r="I1" s="5" t="s">
        <v>21</v>
      </c>
      <c r="J1" s="5" t="s">
        <v>22</v>
      </c>
      <c r="K1" s="6"/>
    </row>
    <row r="2" spans="1:15" ht="15.75" customHeight="1" x14ac:dyDescent="0.25">
      <c r="A2" s="7" t="s">
        <v>23</v>
      </c>
      <c r="B2" s="14" t="str">
        <f>LEFT(A2,2)</f>
        <v>28</v>
      </c>
      <c r="C2" s="13" t="str">
        <f>MID(A2,4,3)</f>
        <v>JAN</v>
      </c>
      <c r="D2" s="13" t="str">
        <f>RIGHT(A2,2)</f>
        <v>US</v>
      </c>
      <c r="E2" s="7" t="s">
        <v>24</v>
      </c>
      <c r="F2" s="7" t="s">
        <v>25</v>
      </c>
      <c r="G2" s="7">
        <v>1000</v>
      </c>
      <c r="H2" s="7" t="str">
        <f>IF(G2&gt;=500,"High price","Standard Price")</f>
        <v>High price</v>
      </c>
      <c r="I2" s="7">
        <v>30</v>
      </c>
      <c r="J2" s="7" t="s">
        <v>26</v>
      </c>
      <c r="K2" s="7"/>
    </row>
    <row r="3" spans="1:15" ht="15.75" customHeight="1" x14ac:dyDescent="0.25">
      <c r="A3" s="8" t="s">
        <v>27</v>
      </c>
      <c r="B3" s="14" t="str">
        <f t="shared" ref="B3:B35" si="0">LEFT(A3,2)</f>
        <v>15</v>
      </c>
      <c r="C3" s="13" t="str">
        <f t="shared" ref="C3:C35" si="1">MID(A3,4,3)</f>
        <v>FEB</v>
      </c>
      <c r="D3" s="13" t="str">
        <f t="shared" ref="D3:D35" si="2">RIGHT(A3,2)</f>
        <v>US</v>
      </c>
      <c r="E3" s="8" t="s">
        <v>28</v>
      </c>
      <c r="F3" s="8" t="s">
        <v>29</v>
      </c>
      <c r="G3" s="8">
        <v>80</v>
      </c>
      <c r="H3" s="7" t="str">
        <f t="shared" ref="H3:H35" si="3">IF(G3&gt;=500,"High price","Standard Price")</f>
        <v>Standard Price</v>
      </c>
      <c r="I3" s="8">
        <v>15</v>
      </c>
      <c r="J3" s="8" t="s">
        <v>30</v>
      </c>
      <c r="K3" s="7"/>
      <c r="N3" s="7"/>
    </row>
    <row r="4" spans="1:15" ht="15.75" customHeight="1" x14ac:dyDescent="0.25">
      <c r="A4" s="7" t="s">
        <v>31</v>
      </c>
      <c r="B4" s="14" t="str">
        <f t="shared" si="0"/>
        <v>03</v>
      </c>
      <c r="C4" s="13" t="str">
        <f t="shared" si="1"/>
        <v>MAR</v>
      </c>
      <c r="D4" s="13" t="str">
        <f t="shared" si="2"/>
        <v>US</v>
      </c>
      <c r="E4" s="7" t="s">
        <v>32</v>
      </c>
      <c r="F4" s="7" t="s">
        <v>33</v>
      </c>
      <c r="G4" s="7">
        <v>130</v>
      </c>
      <c r="H4" s="7" t="str">
        <f t="shared" si="3"/>
        <v>Standard Price</v>
      </c>
      <c r="I4" s="7">
        <v>40</v>
      </c>
      <c r="J4" s="7" t="s">
        <v>34</v>
      </c>
      <c r="K4" s="7"/>
      <c r="L4" s="15" t="s">
        <v>119</v>
      </c>
      <c r="M4" s="15"/>
    </row>
    <row r="5" spans="1:15" ht="15.75" customHeight="1" x14ac:dyDescent="0.25">
      <c r="A5" s="8" t="s">
        <v>35</v>
      </c>
      <c r="B5" s="14" t="str">
        <f t="shared" si="0"/>
        <v>11</v>
      </c>
      <c r="C5" s="13" t="str">
        <f t="shared" si="1"/>
        <v>APR</v>
      </c>
      <c r="D5" s="13" t="str">
        <f t="shared" si="2"/>
        <v>US</v>
      </c>
      <c r="E5" s="8" t="s">
        <v>36</v>
      </c>
      <c r="F5" s="8" t="s">
        <v>37</v>
      </c>
      <c r="G5" s="8">
        <v>900</v>
      </c>
      <c r="H5" s="7" t="str">
        <f t="shared" si="3"/>
        <v>High price</v>
      </c>
      <c r="I5" s="8">
        <v>25</v>
      </c>
      <c r="J5" s="8" t="s">
        <v>26</v>
      </c>
      <c r="K5" s="7"/>
      <c r="L5" s="7"/>
    </row>
    <row r="6" spans="1:15" ht="15.75" customHeight="1" x14ac:dyDescent="0.3">
      <c r="A6" s="7" t="s">
        <v>38</v>
      </c>
      <c r="B6" s="14" t="str">
        <f t="shared" si="0"/>
        <v>22</v>
      </c>
      <c r="C6" s="13" t="str">
        <f t="shared" si="1"/>
        <v>MAY</v>
      </c>
      <c r="D6" s="13" t="str">
        <f t="shared" si="2"/>
        <v>US</v>
      </c>
      <c r="E6" s="7" t="s">
        <v>39</v>
      </c>
      <c r="F6" s="7" t="s">
        <v>40</v>
      </c>
      <c r="G6" s="7">
        <v>70</v>
      </c>
      <c r="H6" s="7" t="str">
        <f t="shared" si="3"/>
        <v>Standard Price</v>
      </c>
      <c r="I6" s="7">
        <v>20</v>
      </c>
      <c r="J6" s="7" t="s">
        <v>41</v>
      </c>
      <c r="K6" s="7"/>
      <c r="L6" s="7">
        <v>1</v>
      </c>
      <c r="M6" s="10" t="s">
        <v>110</v>
      </c>
      <c r="N6" s="10"/>
      <c r="O6">
        <f>SUM(G2:G35)</f>
        <v>10100</v>
      </c>
    </row>
    <row r="7" spans="1:15" ht="15.75" customHeight="1" x14ac:dyDescent="0.25">
      <c r="A7" s="8" t="s">
        <v>42</v>
      </c>
      <c r="B7" s="14" t="str">
        <f t="shared" si="0"/>
        <v>07</v>
      </c>
      <c r="C7" s="13" t="str">
        <f t="shared" si="1"/>
        <v>JUN</v>
      </c>
      <c r="D7" s="13" t="str">
        <f t="shared" si="2"/>
        <v>UK</v>
      </c>
      <c r="E7" s="8" t="s">
        <v>43</v>
      </c>
      <c r="F7" s="8" t="s">
        <v>44</v>
      </c>
      <c r="G7" s="8">
        <v>200</v>
      </c>
      <c r="H7" s="7" t="str">
        <f t="shared" si="3"/>
        <v>Standard Price</v>
      </c>
      <c r="I7" s="8">
        <v>45</v>
      </c>
      <c r="J7" s="8" t="s">
        <v>26</v>
      </c>
      <c r="K7" s="7"/>
      <c r="L7" s="7">
        <v>2</v>
      </c>
      <c r="M7" s="12" t="s">
        <v>123</v>
      </c>
      <c r="N7" s="12"/>
      <c r="O7">
        <f>COUNT(G2:G35)</f>
        <v>34</v>
      </c>
    </row>
    <row r="8" spans="1:15" ht="15.75" customHeight="1" x14ac:dyDescent="0.25">
      <c r="A8" s="7" t="s">
        <v>45</v>
      </c>
      <c r="B8" s="14" t="str">
        <f t="shared" si="0"/>
        <v>19</v>
      </c>
      <c r="C8" s="13" t="str">
        <f t="shared" si="1"/>
        <v>JUL</v>
      </c>
      <c r="D8" s="13" t="str">
        <f t="shared" si="2"/>
        <v>UK</v>
      </c>
      <c r="E8" s="7" t="s">
        <v>46</v>
      </c>
      <c r="F8" s="7" t="s">
        <v>47</v>
      </c>
      <c r="G8" s="7">
        <v>30</v>
      </c>
      <c r="H8" s="7" t="str">
        <f t="shared" si="3"/>
        <v>Standard Price</v>
      </c>
      <c r="I8" s="7">
        <v>5</v>
      </c>
      <c r="J8" s="7" t="s">
        <v>30</v>
      </c>
      <c r="K8" s="7"/>
      <c r="L8" s="7">
        <v>3</v>
      </c>
      <c r="M8" s="12" t="s">
        <v>111</v>
      </c>
      <c r="N8" s="12"/>
      <c r="O8">
        <f>ROUND(AVERAGE(G2:G35),2)</f>
        <v>297.06</v>
      </c>
    </row>
    <row r="9" spans="1:15" ht="15.75" customHeight="1" x14ac:dyDescent="0.25">
      <c r="A9" s="8" t="s">
        <v>48</v>
      </c>
      <c r="B9" s="14" t="str">
        <f t="shared" si="0"/>
        <v>23</v>
      </c>
      <c r="C9" s="13" t="str">
        <f t="shared" si="1"/>
        <v>AUG</v>
      </c>
      <c r="D9" s="13" t="str">
        <f t="shared" si="2"/>
        <v>UK</v>
      </c>
      <c r="E9" s="8" t="s">
        <v>49</v>
      </c>
      <c r="F9" s="8" t="s">
        <v>50</v>
      </c>
      <c r="G9" s="8">
        <v>90</v>
      </c>
      <c r="H9" s="7" t="str">
        <f t="shared" si="3"/>
        <v>Standard Price</v>
      </c>
      <c r="I9" s="8">
        <v>35</v>
      </c>
      <c r="J9" s="8" t="s">
        <v>34</v>
      </c>
      <c r="K9" s="7"/>
      <c r="L9" s="7"/>
    </row>
    <row r="10" spans="1:15" ht="15.75" customHeight="1" x14ac:dyDescent="0.25">
      <c r="A10" s="7" t="s">
        <v>51</v>
      </c>
      <c r="B10" s="14" t="str">
        <f t="shared" si="0"/>
        <v>05</v>
      </c>
      <c r="C10" s="13" t="str">
        <f t="shared" si="1"/>
        <v>SEP</v>
      </c>
      <c r="D10" s="13" t="str">
        <f t="shared" si="2"/>
        <v>UK</v>
      </c>
      <c r="E10" s="7" t="s">
        <v>52</v>
      </c>
      <c r="F10" s="7" t="s">
        <v>53</v>
      </c>
      <c r="G10" s="7">
        <v>500</v>
      </c>
      <c r="H10" s="7" t="str">
        <f t="shared" si="3"/>
        <v>High price</v>
      </c>
      <c r="I10" s="7">
        <v>50</v>
      </c>
      <c r="J10" s="7" t="s">
        <v>26</v>
      </c>
      <c r="K10" s="7"/>
      <c r="L10" s="15" t="s">
        <v>112</v>
      </c>
      <c r="M10" s="15"/>
    </row>
    <row r="11" spans="1:15" ht="15.75" customHeight="1" x14ac:dyDescent="0.25">
      <c r="A11" s="8" t="s">
        <v>54</v>
      </c>
      <c r="B11" s="14" t="str">
        <f t="shared" si="0"/>
        <v>14</v>
      </c>
      <c r="C11" s="13" t="str">
        <f t="shared" si="1"/>
        <v>OCT</v>
      </c>
      <c r="D11" s="13" t="str">
        <f t="shared" si="2"/>
        <v>UK</v>
      </c>
      <c r="E11" s="8" t="s">
        <v>55</v>
      </c>
      <c r="F11" s="8" t="s">
        <v>56</v>
      </c>
      <c r="G11" s="8">
        <v>130</v>
      </c>
      <c r="H11" s="7" t="str">
        <f t="shared" si="3"/>
        <v>Standard Price</v>
      </c>
      <c r="I11" s="8">
        <v>10</v>
      </c>
      <c r="J11" s="8" t="s">
        <v>41</v>
      </c>
      <c r="K11" s="7"/>
      <c r="L11" s="7">
        <v>1</v>
      </c>
      <c r="M11" s="16" t="s">
        <v>113</v>
      </c>
      <c r="N11" s="16"/>
      <c r="O11">
        <f>MIN(G2:G35)</f>
        <v>30</v>
      </c>
    </row>
    <row r="12" spans="1:15" ht="15.75" customHeight="1" x14ac:dyDescent="0.25">
      <c r="A12" s="7" t="s">
        <v>57</v>
      </c>
      <c r="B12" s="14" t="str">
        <f t="shared" si="0"/>
        <v>17</v>
      </c>
      <c r="C12" s="13" t="str">
        <f t="shared" si="1"/>
        <v>JUN</v>
      </c>
      <c r="D12" s="13" t="str">
        <f t="shared" si="2"/>
        <v>IN</v>
      </c>
      <c r="E12" s="7" t="s">
        <v>24</v>
      </c>
      <c r="F12" s="7" t="s">
        <v>58</v>
      </c>
      <c r="G12" s="7">
        <v>950</v>
      </c>
      <c r="H12" s="7" t="str">
        <f t="shared" si="3"/>
        <v>High price</v>
      </c>
      <c r="I12" s="7">
        <v>25</v>
      </c>
      <c r="J12" s="7" t="s">
        <v>26</v>
      </c>
      <c r="K12" s="7"/>
      <c r="L12" s="7">
        <v>2</v>
      </c>
      <c r="M12" s="16" t="s">
        <v>114</v>
      </c>
      <c r="N12" s="16"/>
      <c r="O12">
        <f>MAX(G2:G35)</f>
        <v>1000</v>
      </c>
    </row>
    <row r="13" spans="1:15" ht="15.75" customHeight="1" x14ac:dyDescent="0.25">
      <c r="A13" s="8" t="s">
        <v>59</v>
      </c>
      <c r="B13" s="14" t="str">
        <f t="shared" si="0"/>
        <v>25</v>
      </c>
      <c r="C13" s="13" t="str">
        <f t="shared" si="1"/>
        <v>NOV</v>
      </c>
      <c r="D13" s="13" t="str">
        <f t="shared" si="2"/>
        <v>AU</v>
      </c>
      <c r="E13" s="8" t="s">
        <v>28</v>
      </c>
      <c r="F13" s="8" t="s">
        <v>47</v>
      </c>
      <c r="G13" s="8">
        <v>90</v>
      </c>
      <c r="H13" s="7" t="str">
        <f t="shared" si="3"/>
        <v>Standard Price</v>
      </c>
      <c r="I13" s="8">
        <v>40</v>
      </c>
      <c r="J13" s="8" t="s">
        <v>30</v>
      </c>
      <c r="K13" s="7"/>
    </row>
    <row r="14" spans="1:15" ht="15.75" customHeight="1" x14ac:dyDescent="0.25">
      <c r="A14" s="7" t="s">
        <v>60</v>
      </c>
      <c r="B14" s="14" t="str">
        <f t="shared" si="0"/>
        <v>08</v>
      </c>
      <c r="C14" s="13" t="str">
        <f t="shared" si="1"/>
        <v>DEC</v>
      </c>
      <c r="D14" s="13" t="str">
        <f t="shared" si="2"/>
        <v>DE</v>
      </c>
      <c r="E14" s="7" t="s">
        <v>32</v>
      </c>
      <c r="F14" s="7" t="s">
        <v>61</v>
      </c>
      <c r="G14" s="7">
        <v>120</v>
      </c>
      <c r="H14" s="7" t="str">
        <f t="shared" si="3"/>
        <v>Standard Price</v>
      </c>
      <c r="I14" s="7">
        <v>35</v>
      </c>
      <c r="J14" s="7" t="s">
        <v>34</v>
      </c>
      <c r="K14" s="7"/>
      <c r="L14" s="15" t="s">
        <v>116</v>
      </c>
      <c r="M14" s="15"/>
    </row>
    <row r="15" spans="1:15" ht="15.75" customHeight="1" x14ac:dyDescent="0.25">
      <c r="A15" s="8" t="s">
        <v>62</v>
      </c>
      <c r="B15" s="14" t="str">
        <f t="shared" si="0"/>
        <v>18</v>
      </c>
      <c r="C15" s="13" t="str">
        <f t="shared" si="1"/>
        <v>FEB</v>
      </c>
      <c r="D15" s="13" t="str">
        <f t="shared" si="2"/>
        <v>CA</v>
      </c>
      <c r="E15" s="8" t="s">
        <v>63</v>
      </c>
      <c r="F15" s="8" t="s">
        <v>64</v>
      </c>
      <c r="G15" s="8">
        <v>150</v>
      </c>
      <c r="H15" s="7" t="str">
        <f t="shared" si="3"/>
        <v>Standard Price</v>
      </c>
      <c r="I15" s="8">
        <v>15</v>
      </c>
      <c r="J15" s="8" t="s">
        <v>26</v>
      </c>
      <c r="K15" s="7"/>
      <c r="L15">
        <v>1</v>
      </c>
      <c r="M15" s="16" t="s">
        <v>117</v>
      </c>
      <c r="N15" s="16"/>
      <c r="O15">
        <f>SUMIF(J2:J35,"Electronics",G2:G35)</f>
        <v>8050</v>
      </c>
    </row>
    <row r="16" spans="1:15" ht="15.75" customHeight="1" x14ac:dyDescent="0.25">
      <c r="A16" s="7" t="s">
        <v>65</v>
      </c>
      <c r="B16" s="14" t="str">
        <f t="shared" si="0"/>
        <v>16</v>
      </c>
      <c r="C16" s="13" t="str">
        <f t="shared" si="1"/>
        <v>APR</v>
      </c>
      <c r="D16" s="13" t="str">
        <f t="shared" si="2"/>
        <v>ES</v>
      </c>
      <c r="E16" s="7" t="s">
        <v>43</v>
      </c>
      <c r="F16" s="7" t="s">
        <v>66</v>
      </c>
      <c r="G16" s="7">
        <v>250</v>
      </c>
      <c r="H16" s="7" t="str">
        <f t="shared" si="3"/>
        <v>Standard Price</v>
      </c>
      <c r="I16" s="7">
        <v>20</v>
      </c>
      <c r="J16" s="7" t="s">
        <v>26</v>
      </c>
      <c r="L16">
        <v>2</v>
      </c>
      <c r="M16" s="16" t="s">
        <v>118</v>
      </c>
      <c r="N16" s="16"/>
      <c r="O16">
        <f>COUNTIF(G2:G35,"&lt;100")</f>
        <v>11</v>
      </c>
    </row>
    <row r="17" spans="1:11" ht="15.75" customHeight="1" x14ac:dyDescent="0.25">
      <c r="A17" s="8" t="s">
        <v>67</v>
      </c>
      <c r="B17" s="14" t="str">
        <f t="shared" si="0"/>
        <v>21</v>
      </c>
      <c r="C17" s="13" t="str">
        <f t="shared" si="1"/>
        <v>AUG</v>
      </c>
      <c r="D17" s="13" t="str">
        <f t="shared" si="2"/>
        <v>CA</v>
      </c>
      <c r="E17" s="8" t="s">
        <v>68</v>
      </c>
      <c r="F17" s="8" t="s">
        <v>69</v>
      </c>
      <c r="G17" s="8">
        <v>50</v>
      </c>
      <c r="H17" s="7" t="str">
        <f t="shared" si="3"/>
        <v>Standard Price</v>
      </c>
      <c r="I17" s="8">
        <v>35</v>
      </c>
      <c r="J17" s="8" t="s">
        <v>70</v>
      </c>
    </row>
    <row r="18" spans="1:11" ht="15.75" customHeight="1" x14ac:dyDescent="0.25">
      <c r="A18" s="7" t="s">
        <v>71</v>
      </c>
      <c r="B18" s="14" t="str">
        <f t="shared" si="0"/>
        <v>20</v>
      </c>
      <c r="C18" s="13" t="str">
        <f t="shared" si="1"/>
        <v>AUG</v>
      </c>
      <c r="D18" s="13" t="str">
        <f t="shared" si="2"/>
        <v>CN</v>
      </c>
      <c r="E18" s="7" t="s">
        <v>63</v>
      </c>
      <c r="F18" s="7" t="s">
        <v>72</v>
      </c>
      <c r="G18" s="7">
        <v>160</v>
      </c>
      <c r="H18" s="7" t="str">
        <f t="shared" si="3"/>
        <v>Standard Price</v>
      </c>
      <c r="I18" s="7">
        <v>15</v>
      </c>
      <c r="J18" s="7" t="s">
        <v>26</v>
      </c>
    </row>
    <row r="19" spans="1:11" ht="15.75" customHeight="1" x14ac:dyDescent="0.25">
      <c r="A19" s="8" t="s">
        <v>73</v>
      </c>
      <c r="B19" s="14" t="str">
        <f t="shared" si="0"/>
        <v>27</v>
      </c>
      <c r="C19" s="13" t="str">
        <f t="shared" si="1"/>
        <v>JAN</v>
      </c>
      <c r="D19" s="13" t="str">
        <f t="shared" si="2"/>
        <v>IT</v>
      </c>
      <c r="E19" s="8" t="s">
        <v>24</v>
      </c>
      <c r="F19" s="8" t="s">
        <v>74</v>
      </c>
      <c r="G19" s="8">
        <v>980</v>
      </c>
      <c r="H19" s="7" t="str">
        <f t="shared" si="3"/>
        <v>High price</v>
      </c>
      <c r="I19" s="8">
        <v>10</v>
      </c>
      <c r="J19" s="8" t="s">
        <v>26</v>
      </c>
    </row>
    <row r="20" spans="1:11" ht="15.75" customHeight="1" x14ac:dyDescent="0.25">
      <c r="A20" s="7" t="s">
        <v>75</v>
      </c>
      <c r="B20" s="14" t="str">
        <f t="shared" si="0"/>
        <v>01</v>
      </c>
      <c r="C20" s="13" t="str">
        <f t="shared" si="1"/>
        <v>MAR</v>
      </c>
      <c r="D20" s="13" t="str">
        <f t="shared" si="2"/>
        <v>UK</v>
      </c>
      <c r="E20" s="7" t="s">
        <v>76</v>
      </c>
      <c r="F20" s="7" t="s">
        <v>77</v>
      </c>
      <c r="G20" s="7">
        <v>150</v>
      </c>
      <c r="H20" s="7" t="str">
        <f t="shared" si="3"/>
        <v>Standard Price</v>
      </c>
      <c r="I20" s="7">
        <v>15</v>
      </c>
      <c r="J20" s="7" t="s">
        <v>30</v>
      </c>
    </row>
    <row r="21" spans="1:11" ht="15.75" customHeight="1" x14ac:dyDescent="0.25">
      <c r="A21" s="8" t="s">
        <v>78</v>
      </c>
      <c r="B21" s="14" t="str">
        <f t="shared" si="0"/>
        <v>14</v>
      </c>
      <c r="C21" s="13" t="str">
        <f t="shared" si="1"/>
        <v>AUG</v>
      </c>
      <c r="D21" s="13" t="str">
        <f t="shared" si="2"/>
        <v>US</v>
      </c>
      <c r="E21" s="8" t="s">
        <v>79</v>
      </c>
      <c r="F21" s="8" t="s">
        <v>80</v>
      </c>
      <c r="G21" s="8">
        <v>200</v>
      </c>
      <c r="H21" s="7" t="str">
        <f t="shared" si="3"/>
        <v>Standard Price</v>
      </c>
      <c r="I21" s="8">
        <v>10</v>
      </c>
      <c r="J21" s="8" t="s">
        <v>41</v>
      </c>
    </row>
    <row r="22" spans="1:11" ht="15.75" customHeight="1" x14ac:dyDescent="0.25">
      <c r="A22" s="7" t="s">
        <v>81</v>
      </c>
      <c r="B22" s="14" t="str">
        <f t="shared" si="0"/>
        <v>14</v>
      </c>
      <c r="C22" s="13" t="str">
        <f t="shared" si="1"/>
        <v>MAY</v>
      </c>
      <c r="D22" s="13" t="str">
        <f t="shared" si="2"/>
        <v>RU</v>
      </c>
      <c r="E22" s="7" t="s">
        <v>82</v>
      </c>
      <c r="F22" s="7" t="s">
        <v>83</v>
      </c>
      <c r="G22" s="7">
        <v>700</v>
      </c>
      <c r="H22" s="7" t="str">
        <f t="shared" si="3"/>
        <v>High price</v>
      </c>
      <c r="I22" s="7">
        <v>50</v>
      </c>
      <c r="J22" s="7" t="s">
        <v>26</v>
      </c>
    </row>
    <row r="23" spans="1:11" ht="15.75" customHeight="1" x14ac:dyDescent="0.25">
      <c r="A23" s="8" t="s">
        <v>84</v>
      </c>
      <c r="B23" s="14" t="str">
        <f t="shared" si="0"/>
        <v>09</v>
      </c>
      <c r="C23" s="13" t="str">
        <f t="shared" si="1"/>
        <v>JAN</v>
      </c>
      <c r="D23" s="13" t="str">
        <f t="shared" si="2"/>
        <v>CA</v>
      </c>
      <c r="E23" s="8" t="s">
        <v>85</v>
      </c>
      <c r="F23" s="8" t="s">
        <v>86</v>
      </c>
      <c r="G23" s="8">
        <v>80</v>
      </c>
      <c r="H23" s="7" t="str">
        <f t="shared" si="3"/>
        <v>Standard Price</v>
      </c>
      <c r="I23" s="8">
        <v>20</v>
      </c>
      <c r="J23" s="8" t="s">
        <v>34</v>
      </c>
    </row>
    <row r="24" spans="1:11" ht="15.75" customHeight="1" x14ac:dyDescent="0.25">
      <c r="A24" s="7" t="s">
        <v>87</v>
      </c>
      <c r="B24" s="14" t="str">
        <f t="shared" si="0"/>
        <v>19</v>
      </c>
      <c r="C24" s="13" t="str">
        <f t="shared" si="1"/>
        <v>JUL</v>
      </c>
      <c r="D24" s="13" t="str">
        <f t="shared" si="2"/>
        <v>BR</v>
      </c>
      <c r="E24" s="7" t="s">
        <v>88</v>
      </c>
      <c r="F24" s="7" t="s">
        <v>89</v>
      </c>
      <c r="G24" s="7">
        <v>150</v>
      </c>
      <c r="H24" s="7" t="str">
        <f t="shared" si="3"/>
        <v>Standard Price</v>
      </c>
      <c r="I24" s="7">
        <v>30</v>
      </c>
      <c r="J24" s="7" t="s">
        <v>26</v>
      </c>
      <c r="K24" s="11"/>
    </row>
    <row r="25" spans="1:11" ht="15.75" customHeight="1" x14ac:dyDescent="0.25">
      <c r="A25" s="8" t="s">
        <v>67</v>
      </c>
      <c r="B25" s="14" t="str">
        <f t="shared" si="0"/>
        <v>21</v>
      </c>
      <c r="C25" s="13" t="str">
        <f t="shared" si="1"/>
        <v>AUG</v>
      </c>
      <c r="D25" s="13" t="str">
        <f t="shared" si="2"/>
        <v>CA</v>
      </c>
      <c r="E25" s="8" t="s">
        <v>68</v>
      </c>
      <c r="F25" s="8" t="s">
        <v>69</v>
      </c>
      <c r="G25" s="8">
        <v>50</v>
      </c>
      <c r="H25" s="7" t="str">
        <f t="shared" si="3"/>
        <v>Standard Price</v>
      </c>
      <c r="I25" s="8">
        <v>35</v>
      </c>
      <c r="J25" s="8" t="s">
        <v>70</v>
      </c>
      <c r="K25" s="9"/>
    </row>
    <row r="26" spans="1:11" ht="15.75" customHeight="1" x14ac:dyDescent="0.25">
      <c r="A26" s="7" t="s">
        <v>90</v>
      </c>
      <c r="B26" s="14" t="str">
        <f t="shared" si="0"/>
        <v>29</v>
      </c>
      <c r="C26" s="13" t="str">
        <f t="shared" si="1"/>
        <v>SEP</v>
      </c>
      <c r="D26" s="13" t="str">
        <f t="shared" si="2"/>
        <v>CA</v>
      </c>
      <c r="E26" s="7" t="s">
        <v>36</v>
      </c>
      <c r="F26" s="7" t="s">
        <v>91</v>
      </c>
      <c r="G26" s="7">
        <v>800</v>
      </c>
      <c r="H26" s="7" t="str">
        <f t="shared" si="3"/>
        <v>High price</v>
      </c>
      <c r="I26" s="7">
        <v>45</v>
      </c>
      <c r="J26" s="7" t="s">
        <v>26</v>
      </c>
      <c r="K26" s="7"/>
    </row>
    <row r="27" spans="1:11" ht="15.75" customHeight="1" x14ac:dyDescent="0.25">
      <c r="A27" s="8" t="s">
        <v>92</v>
      </c>
      <c r="B27" s="14" t="str">
        <f t="shared" si="0"/>
        <v>03</v>
      </c>
      <c r="C27" s="13" t="str">
        <f t="shared" si="1"/>
        <v>JUN</v>
      </c>
      <c r="D27" s="13" t="str">
        <f t="shared" si="2"/>
        <v>CA</v>
      </c>
      <c r="E27" s="8" t="s">
        <v>76</v>
      </c>
      <c r="F27" s="8" t="s">
        <v>93</v>
      </c>
      <c r="G27" s="8">
        <v>130</v>
      </c>
      <c r="H27" s="7" t="str">
        <f t="shared" si="3"/>
        <v>Standard Price</v>
      </c>
      <c r="I27" s="8">
        <v>25</v>
      </c>
      <c r="J27" s="8" t="s">
        <v>30</v>
      </c>
      <c r="K27" s="7"/>
    </row>
    <row r="28" spans="1:11" ht="15.75" customHeight="1" x14ac:dyDescent="0.25">
      <c r="A28" s="7" t="s">
        <v>94</v>
      </c>
      <c r="B28" s="14" t="str">
        <f t="shared" si="0"/>
        <v>11</v>
      </c>
      <c r="C28" s="13" t="str">
        <f t="shared" si="1"/>
        <v>JUL</v>
      </c>
      <c r="D28" s="13" t="str">
        <f t="shared" si="2"/>
        <v>CA</v>
      </c>
      <c r="E28" s="7" t="s">
        <v>49</v>
      </c>
      <c r="F28" s="7" t="s">
        <v>95</v>
      </c>
      <c r="G28" s="7">
        <v>400</v>
      </c>
      <c r="H28" s="7" t="str">
        <f t="shared" si="3"/>
        <v>Standard Price</v>
      </c>
      <c r="I28" s="7">
        <v>40</v>
      </c>
      <c r="J28" s="7" t="s">
        <v>34</v>
      </c>
      <c r="K28" s="7"/>
    </row>
    <row r="29" spans="1:11" ht="15.75" customHeight="1" x14ac:dyDescent="0.25">
      <c r="A29" s="8" t="s">
        <v>65</v>
      </c>
      <c r="B29" s="14" t="str">
        <f t="shared" si="0"/>
        <v>16</v>
      </c>
      <c r="C29" s="13" t="str">
        <f t="shared" si="1"/>
        <v>APR</v>
      </c>
      <c r="D29" s="13" t="str">
        <f t="shared" si="2"/>
        <v>ES</v>
      </c>
      <c r="E29" s="8" t="s">
        <v>43</v>
      </c>
      <c r="F29" s="8" t="s">
        <v>66</v>
      </c>
      <c r="G29" s="8">
        <v>230</v>
      </c>
      <c r="H29" s="7" t="str">
        <f t="shared" si="3"/>
        <v>Standard Price</v>
      </c>
      <c r="I29" s="8">
        <v>20</v>
      </c>
      <c r="J29" s="8" t="s">
        <v>26</v>
      </c>
      <c r="K29" s="9"/>
    </row>
    <row r="30" spans="1:11" ht="15.75" customHeight="1" x14ac:dyDescent="0.25">
      <c r="A30" s="7" t="s">
        <v>96</v>
      </c>
      <c r="B30" s="14" t="str">
        <f t="shared" si="0"/>
        <v>07</v>
      </c>
      <c r="C30" s="13" t="str">
        <f t="shared" si="1"/>
        <v>MAR</v>
      </c>
      <c r="D30" s="13" t="str">
        <f t="shared" si="2"/>
        <v>CA</v>
      </c>
      <c r="E30" s="7" t="s">
        <v>97</v>
      </c>
      <c r="F30" s="7" t="s">
        <v>98</v>
      </c>
      <c r="G30" s="7">
        <v>60</v>
      </c>
      <c r="H30" s="7" t="str">
        <f t="shared" si="3"/>
        <v>Standard Price</v>
      </c>
      <c r="I30" s="7">
        <v>30</v>
      </c>
      <c r="J30" s="7" t="s">
        <v>30</v>
      </c>
      <c r="K30" s="7"/>
    </row>
    <row r="31" spans="1:11" ht="15.75" customHeight="1" x14ac:dyDescent="0.25">
      <c r="A31" s="8" t="s">
        <v>99</v>
      </c>
      <c r="B31" s="14" t="str">
        <f t="shared" si="0"/>
        <v>13</v>
      </c>
      <c r="C31" s="13" t="str">
        <f t="shared" si="1"/>
        <v>APR</v>
      </c>
      <c r="D31" s="13" t="str">
        <f t="shared" si="2"/>
        <v>CA</v>
      </c>
      <c r="E31" s="8" t="s">
        <v>100</v>
      </c>
      <c r="F31" s="8" t="s">
        <v>101</v>
      </c>
      <c r="G31" s="8">
        <v>40</v>
      </c>
      <c r="H31" s="7" t="str">
        <f t="shared" si="3"/>
        <v>Standard Price</v>
      </c>
      <c r="I31" s="8">
        <v>10</v>
      </c>
      <c r="J31" s="8" t="s">
        <v>34</v>
      </c>
      <c r="K31" s="7"/>
    </row>
    <row r="32" spans="1:11" ht="15.75" customHeight="1" x14ac:dyDescent="0.25">
      <c r="A32" s="7" t="s">
        <v>102</v>
      </c>
      <c r="B32" s="14" t="str">
        <f t="shared" si="0"/>
        <v>24</v>
      </c>
      <c r="C32" s="13" t="str">
        <f t="shared" si="1"/>
        <v>MAY</v>
      </c>
      <c r="D32" s="13" t="str">
        <f t="shared" si="2"/>
        <v>CA</v>
      </c>
      <c r="E32" s="7" t="s">
        <v>88</v>
      </c>
      <c r="F32" s="7" t="s">
        <v>103</v>
      </c>
      <c r="G32" s="7">
        <v>130</v>
      </c>
      <c r="H32" s="7" t="str">
        <f t="shared" si="3"/>
        <v>Standard Price</v>
      </c>
      <c r="I32" s="7">
        <v>5</v>
      </c>
      <c r="J32" s="7" t="s">
        <v>26</v>
      </c>
      <c r="K32" s="7"/>
    </row>
    <row r="33" spans="1:11" ht="15.75" customHeight="1" x14ac:dyDescent="0.25">
      <c r="A33" s="8" t="s">
        <v>104</v>
      </c>
      <c r="B33" s="14" t="str">
        <f t="shared" si="0"/>
        <v>02</v>
      </c>
      <c r="C33" s="13" t="str">
        <f t="shared" si="1"/>
        <v>DEC</v>
      </c>
      <c r="D33" s="13" t="str">
        <f t="shared" si="2"/>
        <v>CA</v>
      </c>
      <c r="E33" s="8" t="s">
        <v>105</v>
      </c>
      <c r="F33" s="8" t="s">
        <v>106</v>
      </c>
      <c r="G33" s="8">
        <v>50</v>
      </c>
      <c r="H33" s="7" t="str">
        <f t="shared" si="3"/>
        <v>Standard Price</v>
      </c>
      <c r="I33" s="8">
        <v>50</v>
      </c>
      <c r="J33" s="8" t="s">
        <v>30</v>
      </c>
      <c r="K33" s="7"/>
    </row>
    <row r="34" spans="1:11" ht="15.75" customHeight="1" x14ac:dyDescent="0.25">
      <c r="A34" s="7" t="s">
        <v>57</v>
      </c>
      <c r="B34" s="14" t="str">
        <f>LEFT(A34,2)</f>
        <v>17</v>
      </c>
      <c r="C34" s="13" t="str">
        <f t="shared" si="1"/>
        <v>JUN</v>
      </c>
      <c r="D34" s="13" t="str">
        <f t="shared" si="2"/>
        <v>IN</v>
      </c>
      <c r="E34" s="7" t="s">
        <v>24</v>
      </c>
      <c r="F34" s="7" t="s">
        <v>58</v>
      </c>
      <c r="G34" s="7">
        <v>950</v>
      </c>
      <c r="H34" s="7" t="str">
        <f t="shared" si="3"/>
        <v>High price</v>
      </c>
      <c r="I34" s="7">
        <v>25</v>
      </c>
      <c r="J34" s="7" t="s">
        <v>26</v>
      </c>
      <c r="K34" s="7"/>
    </row>
    <row r="35" spans="1:11" ht="15.75" customHeight="1" x14ac:dyDescent="0.25">
      <c r="A35" s="8" t="s">
        <v>107</v>
      </c>
      <c r="B35" s="14" t="str">
        <f t="shared" si="0"/>
        <v>09</v>
      </c>
      <c r="C35" s="13" t="str">
        <f t="shared" si="1"/>
        <v>JUL</v>
      </c>
      <c r="D35" s="13" t="str">
        <f t="shared" si="2"/>
        <v>FR</v>
      </c>
      <c r="E35" s="8" t="s">
        <v>108</v>
      </c>
      <c r="F35" s="8" t="s">
        <v>109</v>
      </c>
      <c r="G35" s="8">
        <v>100</v>
      </c>
      <c r="H35" s="7" t="str">
        <f t="shared" si="3"/>
        <v>Standard Price</v>
      </c>
      <c r="I35" s="8">
        <v>20</v>
      </c>
      <c r="J35" s="8" t="s">
        <v>70</v>
      </c>
      <c r="K35" s="7"/>
    </row>
    <row r="36" spans="1:11" ht="15.75" customHeight="1" x14ac:dyDescent="0.25"/>
    <row r="37" spans="1:11" ht="15.75" customHeight="1" x14ac:dyDescent="0.25"/>
    <row r="38" spans="1:11" ht="15.75" customHeight="1" x14ac:dyDescent="0.25"/>
    <row r="39" spans="1:11" ht="15.75" customHeight="1" x14ac:dyDescent="0.25"/>
    <row r="40" spans="1:11" ht="15.75" customHeight="1" x14ac:dyDescent="0.25"/>
    <row r="41" spans="1:11" ht="15.75" customHeight="1" x14ac:dyDescent="0.25"/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M16:N16"/>
    <mergeCell ref="L4:M4"/>
    <mergeCell ref="L10:M10"/>
    <mergeCell ref="M11:N11"/>
    <mergeCell ref="M12:N12"/>
    <mergeCell ref="L14:M14"/>
    <mergeCell ref="M15:N15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Aswathy</cp:lastModifiedBy>
  <dcterms:modified xsi:type="dcterms:W3CDTF">2026-09-27T07:28:34Z</dcterms:modified>
</cp:coreProperties>
</file>